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eses" sheetId="1" state="visible" r:id="rId3"/>
    <sheet name="Historique" sheetId="2" state="visible" r:id="rId4"/>
    <sheet name="DCF" sheetId="3" state="visible" r:id="rId5"/>
    <sheet name="Sensibili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<sst xmlns="http://schemas.openxmlformats.org/spreadsheetml/2006/main" count="142" uniqueCount="105">
  <si>
    <t xml:space="preserve">TotalEnergies – Hypothèses du modèle DCF</t>
  </si>
  <si>
    <t xml:space="preserve">Légende : bleu = saisie · noir = formule · vert = lien inter-feuilles · fond jaune = hypothèse clé à challenger. Montants en M$ sauf mention.</t>
  </si>
  <si>
    <t xml:space="preserve">Paramètres généraux</t>
  </si>
  <si>
    <t xml:space="preserve">Valeur</t>
  </si>
  <si>
    <t xml:space="preserve">Unité</t>
  </si>
  <si>
    <t xml:space="preserve">Source / commentaire</t>
  </si>
  <si>
    <t xml:space="preserve">Scénario retenu (1=Bas, 2=Central, 3=Haut)</t>
  </si>
  <si>
    <t xml:space="preserve">Sélecteur : pilote les lignes « Retenu » ci-dessous</t>
  </si>
  <si>
    <t xml:space="preserve">WACC</t>
  </si>
  <si>
    <t xml:space="preserve">%</t>
  </si>
  <si>
    <t xml:space="preserve">Hypothèse illustrative – à construire (CAPM, bêta, structure cible)</t>
  </si>
  <si>
    <t xml:space="preserve">Croissance terminale (g)</t>
  </si>
  <si>
    <t xml:space="preserve">Hypothèse illustrative – déclin pétrolier long terme vs transition</t>
  </si>
  <si>
    <t xml:space="preserve">Taux d'impôt sur charges financières</t>
  </si>
  <si>
    <t xml:space="preserve">Hypothèse illustrative</t>
  </si>
  <si>
    <t xml:space="preserve">Taux de change (EUR pour 1 USD)</t>
  </si>
  <si>
    <t xml:space="preserve">EUR/USD</t>
  </si>
  <si>
    <t xml:space="preserve">À METTRE À JOUR avec le spot du jour</t>
  </si>
  <si>
    <t xml:space="preserve">Cours actuel de l'action (EUR)</t>
  </si>
  <si>
    <t xml:space="preserve">EUR</t>
  </si>
  <si>
    <t xml:space="preserve">À SAISIR (Euronext Paris : TTE) pour calculer le potentiel</t>
  </si>
  <si>
    <t xml:space="preserve">Bilan et capital (FY2025)</t>
  </si>
  <si>
    <t xml:space="preserve">Capitaux propres</t>
  </si>
  <si>
    <t xml:space="preserve">M$</t>
  </si>
  <si>
    <t xml:space="preserve">Form 20-F FY2025 (SEC) – vérifier l'inclusion des minoritaires</t>
  </si>
  <si>
    <t xml:space="preserve">Gearing</t>
  </si>
  <si>
    <t xml:space="preserve">Communiqué résultats FY2025 : gearing ≈ 15 %</t>
  </si>
  <si>
    <t xml:space="preserve">Dette nette (estimée via le gearing)</t>
  </si>
  <si>
    <t xml:space="preserve">Estimation : à remplacer par la dette nette publiée</t>
  </si>
  <si>
    <t xml:space="preserve">Actions diluées (moyenne pondérée)</t>
  </si>
  <si>
    <t xml:space="preserve">M</t>
  </si>
  <si>
    <t xml:space="preserve">Communiqué résultats FY2025</t>
  </si>
  <si>
    <t xml:space="preserve">Trésorerie et équivalents (info)</t>
  </si>
  <si>
    <t xml:space="preserve">Form 20-F FY2025</t>
  </si>
  <si>
    <t xml:space="preserve">Dette financière non courante (info)</t>
  </si>
  <si>
    <t xml:space="preserve">Scénarios opérationnels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</si>
  <si>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</si>
  <si>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</si>
  <si>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</si>
  <si>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</si>
  <si>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</si>
  <si>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Croissance des ventes</t>
  </si>
  <si>
    <t xml:space="preserve">  Bas</t>
  </si>
  <si>
    <t xml:space="preserve">  Central</t>
  </si>
  <si>
    <t xml:space="preserve">  Haut</t>
  </si>
  <si>
    <t xml:space="preserve">  Retenu</t>
  </si>
  <si>
    <t xml:space="preserve">Marge CFFO / ventes</t>
  </si>
  <si>
    <t xml:space="preserve">Investissements nets (M$)</t>
  </si>
  <si>
    <t xml:space="preserve">Hypothèses opérationnelles purement illustratives (pas de prévision officielle). Marge CFFO centrale ≈ marge 2025 (27,8 Md$ / 201,2 Md$). Investissements nets centraux ≈ 15 Md$/an (ordre de grandeur de la guidance, à vérifier).</t>
  </si>
  <si>
    <t xml:space="preserve">TotalEnergies – Données historiques</t>
  </si>
  <si>
    <t xml:space="preserve">(M$ sauf mention)</t>
  </si>
  <si>
    <t xml:space="preserve">2024</t>
  </si>
  <si>
    <t xml:space="preserve">2025</t>
  </si>
  <si>
    <t xml:space="preserve">Source</t>
  </si>
  <si>
    <t xml:space="preserve">Ventes (Sales)</t>
  </si>
  <si>
    <t xml:space="preserve">Comptes consolidés Q4 2025</t>
  </si>
  <si>
    <t xml:space="preserve">Revenus des ventes</t>
  </si>
  <si>
    <t xml:space="preserve">Résultat net IFRS (part du Groupe)</t>
  </si>
  <si>
    <t xml:space="preserve">Résultat net ajusté (part du Groupe)</t>
  </si>
  <si>
    <t xml:space="preserve">n.d.</t>
  </si>
  <si>
    <t xml:space="preserve">Communiqué FY2025</t>
  </si>
  <si>
    <t xml:space="preserve">CFFO (hors variation de BFR)</t>
  </si>
  <si>
    <t xml:space="preserve">Communiqué FY2025 : 27,8 Md$ (arrondi)</t>
  </si>
  <si>
    <t xml:space="preserve">Flux de trésorerie d'exploitation (IFRS)</t>
  </si>
  <si>
    <t xml:space="preserve">Investissements nets</t>
  </si>
  <si>
    <t xml:space="preserve">Coût de l'endettement net</t>
  </si>
  <si>
    <t xml:space="preserve">Actions diluées moyennes (M)</t>
  </si>
  <si>
    <t xml:space="preserve">ROACE</t>
  </si>
  <si>
    <t xml:space="preserve">Dividende par action (EUR)</t>
  </si>
  <si>
    <t xml:space="preserve">Communiqué FY2025 (AG du 29/05/2026)</t>
  </si>
  <si>
    <t xml:space="preserve">Ratios</t>
  </si>
  <si>
    <t xml:space="preserve">Marge nette ajustée / ventes</t>
  </si>
  <si>
    <t xml:space="preserve">Investissements nets / CFFO</t>
  </si>
  <si>
    <t xml:space="preserve">TotalEnergies – DCF (flux disponibles pour la firme)</t>
  </si>
  <si>
    <t xml:space="preserve">(M$)</t>
  </si>
  <si>
    <t xml:space="preserve">2025A</t>
  </si>
  <si>
    <t xml:space="preserve">Période d'actualisation (t)</t>
  </si>
  <si>
    <t xml:space="preserve">Ventes</t>
  </si>
  <si>
    <t xml:space="preserve">  Croissance</t>
  </si>
  <si>
    <t xml:space="preserve">  Marge CFFO / ventes</t>
  </si>
  <si>
    <t xml:space="preserve">CFFO (hors BFR)</t>
  </si>
  <si>
    <t xml:space="preserve">+ Charges financières nettes après impôt</t>
  </si>
  <si>
    <t xml:space="preserve">– Investissements nets</t>
  </si>
  <si>
    <t xml:space="preserve">Flux disponible pour la firme (FCFF)</t>
  </si>
  <si>
    <t xml:space="preserve">Facteur d'actualisation</t>
  </si>
  <si>
    <t xml:space="preserve">FCFF actualisé</t>
  </si>
  <si>
    <t xml:space="preserve">Valorisation</t>
  </si>
  <si>
    <t xml:space="preserve">Somme des FCFF actualisés</t>
  </si>
  <si>
    <t xml:space="preserve">FCFF terminal (2031)</t>
  </si>
  <si>
    <t xml:space="preserve">Valeur terminale</t>
  </si>
  <si>
    <t xml:space="preserve">Valeur terminale actualisée</t>
  </si>
  <si>
    <t xml:space="preserve">Valeur d'entreprise (VE)</t>
  </si>
  <si>
    <t xml:space="preserve">– Dette nette</t>
  </si>
  <si>
    <t xml:space="preserve">Valeur des capitaux propres</t>
  </si>
  <si>
    <t xml:space="preserve">Actions diluées (M)</t>
  </si>
  <si>
    <t xml:space="preserve">Valeur par action (USD)</t>
  </si>
  <si>
    <t xml:space="preserve">Valeur par action (EUR)</t>
  </si>
  <si>
    <t xml:space="preserve">Cours actuel (EUR)</t>
  </si>
  <si>
    <t xml:space="preserve">Potentiel / (décote) vs cours</t>
  </si>
  <si>
    <t xml:space="preserve">Poids de la VT dans la VE</t>
  </si>
  <si>
    <t xml:space="preserve">VE implicite / CFFO 2025</t>
  </si>
  <si>
    <t xml:space="preserve">Limites : FCFF approché (CFFO + frais financiers après impôt – investissements nets) ; pas de bridge EBITDA/NOPAT, pas de minoritaires ni de provisions de fin de vie. À affiner par segment (E&amp;P, LNG, Power, Downstream).</t>
  </si>
  <si>
    <t xml:space="preserve">Sensibilité – valeur par action (EUR) : WACC × croissance terminale</t>
  </si>
  <si>
    <t xml:space="preserve">WACC \ g</t>
  </si>
  <si>
    <t xml:space="preserve">Contrôle vs DCF (0 si WACC/g du modèle sont dans la grille)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</si>
</sst>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%;\(0.0%\);\-"/>
    <numFmt numFmtId="167" formatCode="0.000"/>
    <numFmt numFmtId="168" formatCode="#,##0.00;\(#,##0.00\);\-"/>
    <numFmt numFmtId="169" formatCode="#,##0;\(#,##0\);\-"/>
    <numFmt numFmtId="170" formatCode="0.0\x"/>
    <numFmt numFmtId="171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v>2</v>
      </c>
      <c r="C5" s="5" t="str">
        <f aca="false">CHOOSE(B5,"Bas","Central","Haut")</f>
        <v>Central</v>
      </c>
      <c r="D5" s="2" t="s">
        <v>7</v>
      </c>
    </row>
    <row r="6" customFormat="false" ht="15" hidden="false" customHeight="false" outlineLevel="0" collapsed="false">
      <c r="A6" s="5" t="s">
        <v>8</v>
      </c>
      <c r="B6" s="7" t="n">
        <v>0.09</v>
      </c>
      <c r="C6" s="5" t="s">
        <v>9</v>
      </c>
      <c r="D6" s="2" t="s">
        <v>10</v>
      </c>
    </row>
    <row r="7" customFormat="false" ht="15" hidden="false" customHeight="false" outlineLevel="0" collapsed="false">
      <c r="A7" s="5" t="s">
        <v>11</v>
      </c>
      <c r="B7" s="7" t="n">
        <v>0.01</v>
      </c>
      <c r="C7" s="5" t="s">
        <v>9</v>
      </c>
      <c r="D7" s="2" t="s">
        <v>12</v>
      </c>
    </row>
    <row r="8" customFormat="false" ht="15" hidden="false" customHeight="false" outlineLevel="0" collapsed="false">
      <c r="A8" s="5" t="s">
        <v>13</v>
      </c>
      <c r="B8" s="7" t="n">
        <v>0.35</v>
      </c>
      <c r="C8" s="5" t="s">
        <v>9</v>
      </c>
      <c r="D8" s="2" t="s">
        <v>14</v>
      </c>
    </row>
    <row r="9" customFormat="false" ht="15" hidden="false" customHeight="false" outlineLevel="0" collapsed="false">
      <c r="A9" s="5" t="s">
        <v>15</v>
      </c>
      <c r="B9" s="8" t="n">
        <v>0.86</v>
      </c>
      <c r="C9" s="5" t="s">
        <v>16</v>
      </c>
      <c r="D9" s="2" t="s">
        <v>17</v>
      </c>
    </row>
    <row r="10" customFormat="false" ht="15" hidden="false" customHeight="false" outlineLevel="0" collapsed="false">
      <c r="A10" s="5" t="s">
        <v>18</v>
      </c>
      <c r="B10" s="9"/>
      <c r="C10" s="5" t="s">
        <v>19</v>
      </c>
      <c r="D10" s="2" t="s">
        <v>20</v>
      </c>
    </row>
    <row r="12" customFormat="false" ht="15" hidden="false" customHeight="false" outlineLevel="0" collapsed="false">
      <c r="A12" s="3" t="s">
        <v>21</v>
      </c>
      <c r="B12" s="4" t="s">
        <v>3</v>
      </c>
      <c r="C12" s="4" t="s">
        <v>4</v>
      </c>
      <c r="D12" s="4" t="s">
        <v>5</v>
      </c>
    </row>
    <row r="13" customFormat="false" ht="15" hidden="false" customHeight="false" outlineLevel="0" collapsed="false">
      <c r="A13" s="5" t="s">
        <v>22</v>
      </c>
      <c r="B13" s="10" t="n">
        <v>117523</v>
      </c>
      <c r="C13" s="5" t="s">
        <v>23</v>
      </c>
      <c r="D13" s="2" t="s">
        <v>24</v>
      </c>
    </row>
    <row r="14" customFormat="false" ht="15" hidden="false" customHeight="false" outlineLevel="0" collapsed="false">
      <c r="A14" s="5" t="s">
        <v>25</v>
      </c>
      <c r="B14" s="11" t="n">
        <v>0.15</v>
      </c>
      <c r="C14" s="5" t="s">
        <v>9</v>
      </c>
      <c r="D14" s="2" t="s">
        <v>26</v>
      </c>
    </row>
    <row r="15" customFormat="false" ht="15" hidden="false" customHeight="false" outlineLevel="0" collapsed="false">
      <c r="A15" s="5" t="s">
        <v>27</v>
      </c>
      <c r="B15" s="12" t="n">
        <f aca="false">B13*B14/(1-B14)</f>
        <v>20739.3529411765</v>
      </c>
      <c r="C15" s="5" t="s">
        <v>23</v>
      </c>
      <c r="D15" s="2" t="s">
        <v>28</v>
      </c>
    </row>
    <row r="16" customFormat="false" ht="15" hidden="false" customHeight="false" outlineLevel="0" collapsed="false">
      <c r="A16" s="5" t="s">
        <v>29</v>
      </c>
      <c r="B16" s="10" t="n">
        <v>2214</v>
      </c>
      <c r="C16" s="5" t="s">
        <v>30</v>
      </c>
      <c r="D16" s="2" t="s">
        <v>31</v>
      </c>
    </row>
    <row r="17" customFormat="false" ht="15" hidden="false" customHeight="false" outlineLevel="0" collapsed="false">
      <c r="A17" s="5" t="s">
        <v>32</v>
      </c>
      <c r="B17" s="10" t="n">
        <v>26202</v>
      </c>
      <c r="C17" s="5" t="s">
        <v>23</v>
      </c>
      <c r="D17" s="2" t="s">
        <v>33</v>
      </c>
    </row>
    <row r="18" customFormat="false" ht="15" hidden="false" customHeight="false" outlineLevel="0" collapsed="false">
      <c r="A18" s="5" t="s">
        <v>34</v>
      </c>
      <c r="B18" s="10" t="n">
        <v>48995</v>
      </c>
      <c r="C18" s="5" t="s">
        <v>23</v>
      </c>
      <c r="D18" s="2" t="s">
        <v>33</v>
      </c>
    </row>
    <row r="21" customFormat="false" ht="15" hidden="false" customHeight="false" outlineLevel="0" collapsed="false">
      <c r="A21" s="3" t="s">
        <v>35</v>
      </c>
      <c r="B21" s="4" t="s">
        <v>36</v>
      </c>
      <c r="C21" s="4" t="s">
        <v>37</v>
      </c>
      <c r="D21" s="4" t="s">
        <v>38</v>
      </c>
      <c r="E21" s="4" t="s">
        <v>39</v>
      </c>
      <c r="F21" s="4" t="s">
        <v>40</v>
      </c>
    </row>
    <row r="22" customFormat="false" ht="15" hidden="false" customHeight="false" outlineLevel="0" collapsed="false">
      <c r="A22" s="13" t="s">
        <v>41</v>
      </c>
    </row>
    <row r="23" customFormat="false" ht="15" hidden="false" customHeight="false" outlineLevel="0" collapsed="false">
      <c r="A23" s="5" t="s">
        <v>42</v>
      </c>
      <c r="B23" s="11" t="n">
        <v>-0.05</v>
      </c>
      <c r="C23" s="11" t="n">
        <v>-0.02</v>
      </c>
      <c r="D23" s="11" t="n">
        <v>0</v>
      </c>
      <c r="E23" s="11" t="n">
        <v>0.01</v>
      </c>
      <c r="F23" s="11" t="n">
        <v>0.01</v>
      </c>
    </row>
    <row r="24" customFormat="false" ht="15" hidden="false" customHeight="false" outlineLevel="0" collapsed="false">
      <c r="A24" s="5" t="s">
        <v>43</v>
      </c>
      <c r="B24" s="7" t="n">
        <v>0</v>
      </c>
      <c r="C24" s="7" t="n">
        <v>0.02</v>
      </c>
      <c r="D24" s="7" t="n">
        <v>0.02</v>
      </c>
      <c r="E24" s="7" t="n">
        <v>0.02</v>
      </c>
      <c r="F24" s="7" t="n">
        <v>0.02</v>
      </c>
    </row>
    <row r="25" customFormat="false" ht="15" hidden="false" customHeight="false" outlineLevel="0" collapsed="false">
      <c r="A25" s="5" t="s">
        <v>44</v>
      </c>
      <c r="B25" s="11" t="n">
        <v>0.03</v>
      </c>
      <c r="C25" s="11" t="n">
        <v>0.03</v>
      </c>
      <c r="D25" s="11" t="n">
        <v>0.03</v>
      </c>
      <c r="E25" s="11" t="n">
        <v>0.025</v>
      </c>
      <c r="F25" s="11" t="n">
        <v>0.025</v>
      </c>
    </row>
    <row r="26" customFormat="false" ht="15" hidden="false" customHeight="false" outlineLevel="0" collapsed="false">
      <c r="A26" s="13" t="s">
        <v>45</v>
      </c>
      <c r="B26" s="14" t="n">
        <f aca="false">CHOOSE($B$5,B23,B24,B25)</f>
        <v>0</v>
      </c>
      <c r="C26" s="14" t="n">
        <f aca="false">CHOOSE($B$5,C23,C24,C25)</f>
        <v>0.02</v>
      </c>
      <c r="D26" s="14" t="n">
        <f aca="false">CHOOSE($B$5,D23,D24,D25)</f>
        <v>0.02</v>
      </c>
      <c r="E26" s="14" t="n">
        <f aca="false">CHOOSE($B$5,E23,E24,E25)</f>
        <v>0.02</v>
      </c>
      <c r="F26" s="14" t="n">
        <f aca="false">CHOOSE($B$5,F23,F24,F25)</f>
        <v>0.02</v>
      </c>
    </row>
    <row r="27" customFormat="false" ht="15" hidden="false" customHeight="false" outlineLevel="0" collapsed="false">
      <c r="A27" s="13" t="s">
        <v>46</v>
      </c>
    </row>
    <row r="28" customFormat="false" ht="15" hidden="false" customHeight="false" outlineLevel="0" collapsed="false">
      <c r="A28" s="5" t="s">
        <v>42</v>
      </c>
      <c r="B28" s="11" t="n">
        <v>0.12</v>
      </c>
      <c r="C28" s="11" t="n">
        <v>0.12</v>
      </c>
      <c r="D28" s="11" t="n">
        <v>0.12</v>
      </c>
      <c r="E28" s="11" t="n">
        <v>0.12</v>
      </c>
      <c r="F28" s="11" t="n">
        <v>0.12</v>
      </c>
    </row>
    <row r="29" customFormat="false" ht="15" hidden="false" customHeight="false" outlineLevel="0" collapsed="false">
      <c r="A29" s="5" t="s">
        <v>43</v>
      </c>
      <c r="B29" s="7" t="n">
        <v>0.138</v>
      </c>
      <c r="C29" s="7" t="n">
        <v>0.138</v>
      </c>
      <c r="D29" s="7" t="n">
        <v>0.138</v>
      </c>
      <c r="E29" s="7" t="n">
        <v>0.138</v>
      </c>
      <c r="F29" s="7" t="n">
        <v>0.138</v>
      </c>
    </row>
    <row r="30" customFormat="false" ht="15" hidden="false" customHeight="false" outlineLevel="0" collapsed="false">
      <c r="A30" s="5" t="s">
        <v>44</v>
      </c>
      <c r="B30" s="11" t="n">
        <v>0.15</v>
      </c>
      <c r="C30" s="11" t="n">
        <v>0.15</v>
      </c>
      <c r="D30" s="11" t="n">
        <v>0.15</v>
      </c>
      <c r="E30" s="11" t="n">
        <v>0.15</v>
      </c>
      <c r="F30" s="11" t="n">
        <v>0.15</v>
      </c>
    </row>
    <row r="31" customFormat="false" ht="15" hidden="false" customHeight="false" outlineLevel="0" collapsed="false">
      <c r="A31" s="13" t="s">
        <v>45</v>
      </c>
      <c r="B31" s="14" t="n">
        <f aca="false">CHOOSE($B$5,B28,B29,B30)</f>
        <v>0.138</v>
      </c>
      <c r="C31" s="14" t="n">
        <f aca="false">CHOOSE($B$5,C28,C29,C30)</f>
        <v>0.138</v>
      </c>
      <c r="D31" s="14" t="n">
        <f aca="false">CHOOSE($B$5,D28,D29,D30)</f>
        <v>0.138</v>
      </c>
      <c r="E31" s="14" t="n">
        <f aca="false">CHOOSE($B$5,E28,E29,E30)</f>
        <v>0.138</v>
      </c>
      <c r="F31" s="14" t="n">
        <f aca="false">CHOOSE($B$5,F28,F29,F30)</f>
        <v>0.138</v>
      </c>
    </row>
    <row r="32" customFormat="false" ht="15" hidden="false" customHeight="false" outlineLevel="0" collapsed="false">
      <c r="A32" s="13" t="s">
        <v>47</v>
      </c>
    </row>
    <row r="33" customFormat="false" ht="15" hidden="false" customHeight="false" outlineLevel="0" collapsed="false">
      <c r="A33" s="5" t="s">
        <v>42</v>
      </c>
      <c r="B33" s="10" t="n">
        <v>15000</v>
      </c>
      <c r="C33" s="10" t="n">
        <v>15000</v>
      </c>
      <c r="D33" s="10" t="n">
        <v>15000</v>
      </c>
      <c r="E33" s="10" t="n">
        <v>15000</v>
      </c>
      <c r="F33" s="10" t="n">
        <v>15000</v>
      </c>
    </row>
    <row r="34" customFormat="false" ht="15" hidden="false" customHeight="false" outlineLevel="0" collapsed="false">
      <c r="A34" s="5" t="s">
        <v>43</v>
      </c>
      <c r="B34" s="15" t="n">
        <v>15000</v>
      </c>
      <c r="C34" s="15" t="n">
        <v>15000</v>
      </c>
      <c r="D34" s="15" t="n">
        <v>15000</v>
      </c>
      <c r="E34" s="15" t="n">
        <v>15000</v>
      </c>
      <c r="F34" s="15" t="n">
        <v>15000</v>
      </c>
    </row>
    <row r="35" customFormat="false" ht="15" hidden="false" customHeight="false" outlineLevel="0" collapsed="false">
      <c r="A35" s="5" t="s">
        <v>44</v>
      </c>
      <c r="B35" s="10" t="n">
        <v>16000</v>
      </c>
      <c r="C35" s="10" t="n">
        <v>16000</v>
      </c>
      <c r="D35" s="10" t="n">
        <v>16000</v>
      </c>
      <c r="E35" s="10" t="n">
        <v>16000</v>
      </c>
      <c r="F35" s="10" t="n">
        <v>16000</v>
      </c>
    </row>
    <row r="36" customFormat="false" ht="15" hidden="false" customHeight="false" outlineLevel="0" collapsed="false">
      <c r="A36" s="13" t="s">
        <v>45</v>
      </c>
      <c r="B36" s="12" t="n">
        <f aca="false">CHOOSE($B$5,B33,B34,B35)</f>
        <v>15000</v>
      </c>
      <c r="C36" s="12" t="n">
        <f aca="false">CHOOSE($B$5,C33,C34,C35)</f>
        <v>15000</v>
      </c>
      <c r="D36" s="12" t="n">
        <f aca="false">CHOOSE($B$5,D33,D34,D35)</f>
        <v>15000</v>
      </c>
      <c r="E36" s="12" t="n">
        <f aca="false">CHOOSE($B$5,E33,E34,E35)</f>
        <v>15000</v>
      </c>
      <c r="F36" s="12" t="n">
        <f aca="false">CHOOSE($B$5,F33,F34,F35)</f>
        <v>15000</v>
      </c>
    </row>
    <row r="37" customFormat="false" ht="15" hidden="false" customHeight="false" outlineLevel="0" collapsed="false">
      <c r="A37" s="2" t="s">
        <v>48</v>
      </c>
    </row>
  </sheetData>
  <dataValidations count="1">
    <dataValidation allowBlank="false" errorStyle="stop" operator="between" showDropDown="false" showErrorMessage="false" showInputMessage="false" sqref="B5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49</v>
      </c>
    </row>
    <row r="4" customFormat="false" ht="15" hidden="false" customHeight="false" outlineLevel="0" collapsed="false">
      <c r="A4" s="3" t="s">
        <v>50</v>
      </c>
      <c r="B4" s="4" t="s">
        <v>51</v>
      </c>
      <c r="C4" s="4" t="s">
        <v>52</v>
      </c>
      <c r="D4" s="4" t="s">
        <v>53</v>
      </c>
    </row>
    <row r="5" customFormat="false" ht="15" hidden="false" customHeight="false" outlineLevel="0" collapsed="false">
      <c r="A5" s="5" t="s">
        <v>54</v>
      </c>
      <c r="B5" s="10" t="n">
        <v>214550</v>
      </c>
      <c r="C5" s="10" t="n">
        <v>201196</v>
      </c>
      <c r="D5" s="2" t="s">
        <v>55</v>
      </c>
    </row>
    <row r="6" customFormat="false" ht="15" hidden="false" customHeight="false" outlineLevel="0" collapsed="false">
      <c r="A6" s="5" t="s">
        <v>56</v>
      </c>
      <c r="B6" s="10" t="n">
        <v>195610</v>
      </c>
      <c r="C6" s="10" t="n">
        <v>182344</v>
      </c>
      <c r="D6" s="2" t="s">
        <v>55</v>
      </c>
    </row>
    <row r="7" customFormat="false" ht="15" hidden="false" customHeight="false" outlineLevel="0" collapsed="false">
      <c r="A7" s="5" t="s">
        <v>57</v>
      </c>
      <c r="B7" s="10" t="n">
        <v>15758</v>
      </c>
      <c r="C7" s="10" t="n">
        <v>13127</v>
      </c>
      <c r="D7" s="2" t="s">
        <v>55</v>
      </c>
    </row>
    <row r="8" customFormat="false" ht="15" hidden="false" customHeight="false" outlineLevel="0" collapsed="false">
      <c r="A8" s="5" t="s">
        <v>58</v>
      </c>
      <c r="B8" s="16" t="s">
        <v>59</v>
      </c>
      <c r="C8" s="10" t="n">
        <v>15587</v>
      </c>
      <c r="D8" s="2" t="s">
        <v>60</v>
      </c>
    </row>
    <row r="9" customFormat="false" ht="15" hidden="false" customHeight="false" outlineLevel="0" collapsed="false">
      <c r="A9" s="5" t="s">
        <v>61</v>
      </c>
      <c r="B9" s="16" t="s">
        <v>59</v>
      </c>
      <c r="C9" s="10" t="n">
        <v>27800</v>
      </c>
      <c r="D9" s="2" t="s">
        <v>62</v>
      </c>
    </row>
    <row r="10" customFormat="false" ht="15" hidden="false" customHeight="false" outlineLevel="0" collapsed="false">
      <c r="A10" s="5" t="s">
        <v>63</v>
      </c>
      <c r="B10" s="10" t="n">
        <v>30854</v>
      </c>
      <c r="C10" s="10" t="n">
        <v>27343</v>
      </c>
      <c r="D10" s="2" t="s">
        <v>33</v>
      </c>
    </row>
    <row r="11" customFormat="false" ht="15" hidden="false" customHeight="false" outlineLevel="0" collapsed="false">
      <c r="A11" s="5" t="s">
        <v>64</v>
      </c>
      <c r="B11" s="16" t="s">
        <v>59</v>
      </c>
      <c r="C11" s="10" t="n">
        <v>17091</v>
      </c>
      <c r="D11" s="2" t="s">
        <v>60</v>
      </c>
    </row>
    <row r="12" customFormat="false" ht="15" hidden="false" customHeight="false" outlineLevel="0" collapsed="false">
      <c r="A12" s="5" t="s">
        <v>65</v>
      </c>
      <c r="B12" s="10" t="n">
        <v>1230</v>
      </c>
      <c r="C12" s="10" t="n">
        <v>2067</v>
      </c>
      <c r="D12" s="2" t="s">
        <v>55</v>
      </c>
    </row>
    <row r="13" customFormat="false" ht="15" hidden="false" customHeight="false" outlineLevel="0" collapsed="false">
      <c r="A13" s="5" t="s">
        <v>66</v>
      </c>
      <c r="B13" s="16" t="s">
        <v>59</v>
      </c>
      <c r="C13" s="10" t="n">
        <v>2214</v>
      </c>
      <c r="D13" s="2" t="s">
        <v>60</v>
      </c>
    </row>
    <row r="14" customFormat="false" ht="15" hidden="false" customHeight="false" outlineLevel="0" collapsed="false">
      <c r="A14" s="5" t="s">
        <v>67</v>
      </c>
      <c r="B14" s="16" t="s">
        <v>59</v>
      </c>
      <c r="C14" s="11" t="n">
        <v>0.126</v>
      </c>
      <c r="D14" s="2" t="s">
        <v>60</v>
      </c>
    </row>
    <row r="15" customFormat="false" ht="15" hidden="false" customHeight="false" outlineLevel="0" collapsed="false">
      <c r="A15" s="5" t="s">
        <v>68</v>
      </c>
      <c r="B15" s="16" t="s">
        <v>59</v>
      </c>
      <c r="C15" s="17" t="n">
        <v>3.4</v>
      </c>
      <c r="D15" s="2" t="s">
        <v>69</v>
      </c>
    </row>
    <row r="17" customFormat="false" ht="15" hidden="false" customHeight="false" outlineLevel="0" collapsed="false">
      <c r="A17" s="13" t="s">
        <v>70</v>
      </c>
    </row>
    <row r="18" customFormat="false" ht="15" hidden="false" customHeight="false" outlineLevel="0" collapsed="false">
      <c r="A18" s="5" t="s">
        <v>41</v>
      </c>
      <c r="C18" s="14" t="n">
        <f aca="false">C5/B5-1</f>
        <v>-0.062241901654626</v>
      </c>
    </row>
    <row r="19" customFormat="false" ht="15" hidden="false" customHeight="false" outlineLevel="0" collapsed="false">
      <c r="A19" s="5" t="s">
        <v>46</v>
      </c>
      <c r="C19" s="14" t="n">
        <f aca="false">C9/C5</f>
        <v>0.138173721147538</v>
      </c>
    </row>
    <row r="20" customFormat="false" ht="15" hidden="false" customHeight="false" outlineLevel="0" collapsed="false">
      <c r="A20" s="5" t="s">
        <v>71</v>
      </c>
      <c r="C20" s="14" t="n">
        <f aca="false">C8/C5</f>
        <v>0.0774717191196644</v>
      </c>
    </row>
    <row r="21" customFormat="false" ht="15" hidden="false" customHeight="false" outlineLevel="0" collapsed="false">
      <c r="A21" s="5" t="s">
        <v>72</v>
      </c>
      <c r="C21" s="14" t="n">
        <f aca="false">C11/C9</f>
        <v>0.614784172661871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tr">
        <f aca="false">"Scénario : "&amp;Hypotheses!C5&amp;" · valorisation au 31/12/2025 · actualisation fin de période"</f>
        <v>Scénario : Central · valorisation au 31/12/2025 · actualisation fin de période</v>
      </c>
    </row>
    <row r="4" customFormat="false" ht="15" hidden="false" customHeight="false" outlineLevel="0" collapsed="false">
      <c r="A4" s="3" t="s">
        <v>74</v>
      </c>
      <c r="B4" s="4" t="s">
        <v>75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</row>
    <row r="5" customFormat="false" ht="15" hidden="false" customHeight="false" outlineLevel="0" collapsed="false">
      <c r="A5" s="5" t="s">
        <v>76</v>
      </c>
      <c r="B5" s="18" t="n">
        <v>0</v>
      </c>
      <c r="C5" s="18" t="n">
        <v>1</v>
      </c>
      <c r="D5" s="18" t="n">
        <v>2</v>
      </c>
      <c r="E5" s="18" t="n">
        <v>3</v>
      </c>
      <c r="F5" s="18" t="n">
        <v>4</v>
      </c>
      <c r="G5" s="18" t="n">
        <v>5</v>
      </c>
    </row>
    <row r="6" customFormat="false" ht="15" hidden="false" customHeight="false" outlineLevel="0" collapsed="false">
      <c r="A6" s="13" t="s">
        <v>77</v>
      </c>
      <c r="B6" s="19" t="n">
        <f aca="false">Historique!C5</f>
        <v>201196</v>
      </c>
      <c r="C6" s="19" t="n">
        <f aca="false">B6*(1+Hypotheses!B26)</f>
        <v>201196</v>
      </c>
      <c r="D6" s="19" t="n">
        <f aca="false">C6*(1+Hypotheses!C26)</f>
        <v>205219.92</v>
      </c>
      <c r="E6" s="19" t="n">
        <f aca="false">D6*(1+Hypotheses!D26)</f>
        <v>209324.3184</v>
      </c>
      <c r="F6" s="19" t="n">
        <f aca="false">E6*(1+Hypotheses!E26)</f>
        <v>213510.804768</v>
      </c>
      <c r="G6" s="19" t="n">
        <f aca="false">F6*(1+Hypotheses!F26)</f>
        <v>217781.02086336</v>
      </c>
    </row>
    <row r="7" customFormat="false" ht="15" hidden="false" customHeight="false" outlineLevel="0" collapsed="false">
      <c r="A7" s="5" t="s">
        <v>78</v>
      </c>
      <c r="C7" s="14" t="n">
        <f aca="false">C6/B6-1</f>
        <v>0</v>
      </c>
      <c r="D7" s="14" t="n">
        <f aca="false">D6/C6-1</f>
        <v>0.02</v>
      </c>
      <c r="E7" s="14" t="n">
        <f aca="false">E6/D6-1</f>
        <v>0.02</v>
      </c>
      <c r="F7" s="14" t="n">
        <f aca="false">F6/E6-1</f>
        <v>0.02</v>
      </c>
      <c r="G7" s="14" t="n">
        <f aca="false">G6/F6-1</f>
        <v>0.02</v>
      </c>
    </row>
    <row r="8" customFormat="false" ht="15" hidden="false" customHeight="false" outlineLevel="0" collapsed="false">
      <c r="A8" s="5" t="s">
        <v>79</v>
      </c>
      <c r="B8" s="14" t="n">
        <f aca="false">B9/B6</f>
        <v>0.138173721147538</v>
      </c>
      <c r="C8" s="20" t="n">
        <f aca="false">Hypotheses!B31</f>
        <v>0.138</v>
      </c>
      <c r="D8" s="20" t="n">
        <f aca="false">Hypotheses!C31</f>
        <v>0.138</v>
      </c>
      <c r="E8" s="20" t="n">
        <f aca="false">Hypotheses!D31</f>
        <v>0.138</v>
      </c>
      <c r="F8" s="20" t="n">
        <f aca="false">Hypotheses!E31</f>
        <v>0.138</v>
      </c>
      <c r="G8" s="20" t="n">
        <f aca="false">Hypotheses!F31</f>
        <v>0.138</v>
      </c>
    </row>
    <row r="9" customFormat="false" ht="15" hidden="false" customHeight="false" outlineLevel="0" collapsed="false">
      <c r="A9" s="13" t="s">
        <v>80</v>
      </c>
      <c r="B9" s="19" t="n">
        <f aca="false">Historique!C9</f>
        <v>27800</v>
      </c>
      <c r="C9" s="12" t="n">
        <f aca="false">C6*C8</f>
        <v>27765.048</v>
      </c>
      <c r="D9" s="12" t="n">
        <f aca="false">D6*D8</f>
        <v>28320.34896</v>
      </c>
      <c r="E9" s="12" t="n">
        <f aca="false">E6*E8</f>
        <v>28886.7559392</v>
      </c>
      <c r="F9" s="12" t="n">
        <f aca="false">F6*F8</f>
        <v>29464.491057984</v>
      </c>
      <c r="G9" s="12" t="n">
        <f aca="false">G6*G8</f>
        <v>30053.7808791437</v>
      </c>
    </row>
    <row r="10" customFormat="false" ht="15" hidden="false" customHeight="false" outlineLevel="0" collapsed="false">
      <c r="A10" s="5" t="s">
        <v>81</v>
      </c>
      <c r="B10" s="19" t="n">
        <f aca="false">Historique!C12*(1-Hypotheses!B8)</f>
        <v>1343.55</v>
      </c>
      <c r="C10" s="12" t="n">
        <f aca="false">B10</f>
        <v>1343.55</v>
      </c>
      <c r="D10" s="12" t="n">
        <f aca="false">C10</f>
        <v>1343.55</v>
      </c>
      <c r="E10" s="12" t="n">
        <f aca="false">D10</f>
        <v>1343.55</v>
      </c>
      <c r="F10" s="12" t="n">
        <f aca="false">E10</f>
        <v>1343.55</v>
      </c>
      <c r="G10" s="12" t="n">
        <f aca="false">F10</f>
        <v>1343.55</v>
      </c>
    </row>
    <row r="11" customFormat="false" ht="15" hidden="false" customHeight="false" outlineLevel="0" collapsed="false">
      <c r="A11" s="5" t="s">
        <v>82</v>
      </c>
      <c r="B11" s="19" t="n">
        <f aca="false">Historique!C11</f>
        <v>17091</v>
      </c>
      <c r="C11" s="19" t="n">
        <f aca="false">Hypotheses!B36</f>
        <v>15000</v>
      </c>
      <c r="D11" s="19" t="n">
        <f aca="false">Hypotheses!C36</f>
        <v>15000</v>
      </c>
      <c r="E11" s="19" t="n">
        <f aca="false">Hypotheses!D36</f>
        <v>15000</v>
      </c>
      <c r="F11" s="19" t="n">
        <f aca="false">Hypotheses!E36</f>
        <v>15000</v>
      </c>
      <c r="G11" s="19" t="n">
        <f aca="false">Hypotheses!F36</f>
        <v>15000</v>
      </c>
    </row>
    <row r="12" customFormat="false" ht="15" hidden="false" customHeight="false" outlineLevel="0" collapsed="false">
      <c r="A12" s="13" t="s">
        <v>83</v>
      </c>
      <c r="B12" s="12" t="n">
        <f aca="false">B9+B10-B11</f>
        <v>12052.55</v>
      </c>
      <c r="C12" s="12" t="n">
        <f aca="false">C9+C10-C11</f>
        <v>14108.598</v>
      </c>
      <c r="D12" s="12" t="n">
        <f aca="false">D9+D10-D11</f>
        <v>14663.89896</v>
      </c>
      <c r="E12" s="12" t="n">
        <f aca="false">E9+E10-E11</f>
        <v>15230.3059392</v>
      </c>
      <c r="F12" s="12" t="n">
        <f aca="false">F9+F10-F11</f>
        <v>15808.041057984</v>
      </c>
      <c r="G12" s="12" t="n">
        <f aca="false">G9+G10-G11</f>
        <v>16397.3308791437</v>
      </c>
    </row>
    <row r="13" customFormat="false" ht="15" hidden="false" customHeight="false" outlineLevel="0" collapsed="false">
      <c r="A13" s="5" t="s">
        <v>84</v>
      </c>
      <c r="C13" s="21" t="n">
        <f aca="false">1/(1+Hypotheses!$B$6)^C5</f>
        <v>0.91743119266055</v>
      </c>
      <c r="D13" s="21" t="n">
        <f aca="false">1/(1+Hypotheses!$B$6)^D5</f>
        <v>0.84167999326656</v>
      </c>
      <c r="E13" s="21" t="n">
        <f aca="false">1/(1+Hypotheses!$B$6)^E5</f>
        <v>0.772183480061064</v>
      </c>
      <c r="F13" s="21" t="n">
        <f aca="false">1/(1+Hypotheses!$B$6)^F5</f>
        <v>0.708425211065196</v>
      </c>
      <c r="G13" s="21" t="n">
        <f aca="false">1/(1+Hypotheses!$B$6)^G5</f>
        <v>0.649931386298345</v>
      </c>
    </row>
    <row r="14" customFormat="false" ht="15" hidden="false" customHeight="false" outlineLevel="0" collapsed="false">
      <c r="A14" s="5" t="s">
        <v>85</v>
      </c>
      <c r="C14" s="12" t="n">
        <f aca="false">C12*C13</f>
        <v>12943.6678899083</v>
      </c>
      <c r="D14" s="12" t="n">
        <f aca="false">D12*D13</f>
        <v>12342.3103779143</v>
      </c>
      <c r="E14" s="12" t="n">
        <f aca="false">E12*E13</f>
        <v>11760.5906425262</v>
      </c>
      <c r="F14" s="12" t="n">
        <f aca="false">F12*F13</f>
        <v>11198.8148230296</v>
      </c>
      <c r="G14" s="12" t="n">
        <f aca="false">G12*G13</f>
        <v>10657.1399898745</v>
      </c>
    </row>
    <row r="16" customFormat="false" ht="15" hidden="false" customHeight="false" outlineLevel="0" collapsed="false">
      <c r="A16" s="13" t="s">
        <v>86</v>
      </c>
    </row>
    <row r="17" customFormat="false" ht="15" hidden="false" customHeight="false" outlineLevel="0" collapsed="false">
      <c r="A17" s="5" t="s">
        <v>87</v>
      </c>
      <c r="B17" s="22" t="n">
        <f aca="false">SUM(C14:G14)</f>
        <v>58902.5237232529</v>
      </c>
    </row>
    <row r="18" customFormat="false" ht="15" hidden="false" customHeight="false" outlineLevel="0" collapsed="false">
      <c r="A18" s="5" t="s">
        <v>88</v>
      </c>
      <c r="B18" s="23" t="n">
        <f aca="false">G12*(1+Hypotheses!B7)</f>
        <v>16561.3041879351</v>
      </c>
    </row>
    <row r="19" customFormat="false" ht="15" hidden="false" customHeight="false" outlineLevel="0" collapsed="false">
      <c r="A19" s="5" t="s">
        <v>89</v>
      </c>
      <c r="B19" s="23" t="n">
        <f aca="false">IF(Hypotheses!B6&gt;Hypotheses!B7,B18/(Hypotheses!B6-Hypotheses!B7),NA())</f>
        <v>207016.302349189</v>
      </c>
    </row>
    <row r="20" customFormat="false" ht="15" hidden="false" customHeight="false" outlineLevel="0" collapsed="false">
      <c r="A20" s="5" t="s">
        <v>90</v>
      </c>
      <c r="B20" s="22" t="n">
        <f aca="false">B19*G13</f>
        <v>134546.392372166</v>
      </c>
    </row>
    <row r="21" customFormat="false" ht="15" hidden="false" customHeight="false" outlineLevel="0" collapsed="false">
      <c r="A21" s="13" t="s">
        <v>91</v>
      </c>
      <c r="B21" s="22" t="n">
        <f aca="false">B17+B20</f>
        <v>193448.916095419</v>
      </c>
    </row>
    <row r="22" customFormat="false" ht="15" hidden="false" customHeight="false" outlineLevel="0" collapsed="false">
      <c r="A22" s="5" t="s">
        <v>92</v>
      </c>
      <c r="B22" s="23" t="n">
        <f aca="false">Hypotheses!B15</f>
        <v>20739.3529411765</v>
      </c>
    </row>
    <row r="23" customFormat="false" ht="15" hidden="false" customHeight="false" outlineLevel="0" collapsed="false">
      <c r="A23" s="5" t="s">
        <v>93</v>
      </c>
      <c r="B23" s="22" t="n">
        <f aca="false">B21-B22</f>
        <v>172709.563154242</v>
      </c>
    </row>
    <row r="24" customFormat="false" ht="15" hidden="false" customHeight="false" outlineLevel="0" collapsed="false">
      <c r="A24" s="5" t="s">
        <v>94</v>
      </c>
      <c r="B24" s="23" t="n">
        <f aca="false">Hypotheses!B16</f>
        <v>2214</v>
      </c>
    </row>
    <row r="25" customFormat="false" ht="15" hidden="false" customHeight="false" outlineLevel="0" collapsed="false">
      <c r="A25" s="5" t="s">
        <v>95</v>
      </c>
      <c r="B25" s="24" t="n">
        <f aca="false">B23/B24</f>
        <v>78.0079327706604</v>
      </c>
    </row>
    <row r="26" customFormat="false" ht="15" hidden="false" customHeight="false" outlineLevel="0" collapsed="false">
      <c r="A26" s="13" t="s">
        <v>96</v>
      </c>
      <c r="B26" s="25" t="n">
        <f aca="false">B25*Hypotheses!B9</f>
        <v>67.086822182768</v>
      </c>
    </row>
    <row r="27" customFormat="false" ht="15" hidden="false" customHeight="false" outlineLevel="0" collapsed="false">
      <c r="A27" s="5" t="s">
        <v>97</v>
      </c>
      <c r="B27" s="25" t="str">
        <f aca="false">IF(ISNUMBER(Hypotheses!B10),Hypotheses!B10,"n.d.")</f>
        <v>n.d.</v>
      </c>
    </row>
    <row r="28" customFormat="false" ht="15" hidden="false" customHeight="false" outlineLevel="0" collapsed="false">
      <c r="A28" s="5" t="s">
        <v>98</v>
      </c>
      <c r="B28" s="26" t="str">
        <f aca="false">IF(ISNUMBER(B27),B26/B27-1,"n.d.")</f>
        <v>n.d.</v>
      </c>
    </row>
    <row r="29" customFormat="false" ht="15" hidden="false" customHeight="false" outlineLevel="0" collapsed="false">
      <c r="A29" s="5" t="s">
        <v>99</v>
      </c>
      <c r="B29" s="26" t="n">
        <f aca="false">B20/B21</f>
        <v>0.695513808440264</v>
      </c>
    </row>
    <row r="30" customFormat="false" ht="15" hidden="false" customHeight="false" outlineLevel="0" collapsed="false">
      <c r="A30" s="5" t="s">
        <v>100</v>
      </c>
      <c r="B30" s="27" t="n">
        <f aca="false">B21/B9</f>
        <v>6.95859410415175</v>
      </c>
    </row>
    <row r="32" customFormat="false" ht="15" hidden="false" customHeight="false" outlineLevel="0" collapsed="false">
      <c r="A32" s="2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102</v>
      </c>
    </row>
    <row r="4" customFormat="false" ht="15" hidden="false" customHeight="false" outlineLevel="0" collapsed="false">
      <c r="A4" s="3" t="s">
        <v>103</v>
      </c>
      <c r="B4" s="28" t="n">
        <v>0</v>
      </c>
      <c r="C4" s="28" t="n">
        <v>0.005</v>
      </c>
      <c r="D4" s="28" t="n">
        <v>0.01</v>
      </c>
      <c r="E4" s="28" t="n">
        <v>0.015</v>
      </c>
      <c r="F4" s="28" t="n">
        <v>0.02</v>
      </c>
    </row>
    <row r="5" customFormat="false" ht="15" hidden="false" customHeight="false" outlineLevel="0" collapsed="false">
      <c r="A5" s="11" t="n">
        <v>0.07</v>
      </c>
      <c r="B5" s="29" t="n">
        <f aca="false">(SUMPRODUCT(DCF!$C$12:$G$12/(1+$A5)^DCF!$C$5:$G$5)+DCF!$G$12*(1+B$4)/($A5-B$4)/(1+$A5)^DCF!$G$5-Hypotheses!$B$15)/Hypotheses!$B$16*Hypotheses!$B$9</f>
        <v>80.9708937949572</v>
      </c>
      <c r="C5" s="29" t="n">
        <f aca="false">(SUMPRODUCT(DCF!$C$12:$G$12/(1+$A5)^DCF!$C$5:$G$5)+DCF!$G$12*(1+C$4)/($A5-C$4)/(1+$A5)^DCF!$G$5-Hypotheses!$B$15)/Hypotheses!$B$16*Hypotheses!$B$9</f>
        <v>86.3106015922559</v>
      </c>
      <c r="D5" s="29" t="n">
        <f aca="false">(SUMPRODUCT(DCF!$C$12:$G$12/(1+$A5)^DCF!$C$5:$G$5)+DCF!$G$12*(1+D$4)/($A5-D$4)/(1+$A5)^DCF!$G$5-Hypotheses!$B$15)/Hypotheses!$B$16*Hypotheses!$B$9</f>
        <v>92.5402606891044</v>
      </c>
      <c r="E5" s="29" t="n">
        <f aca="false">(SUMPRODUCT(DCF!$C$12:$G$12/(1+$A5)^DCF!$C$5:$G$5)+DCF!$G$12*(1+E$4)/($A5-E$4)/(1+$A5)^DCF!$G$5-Hypotheses!$B$15)/Hypotheses!$B$16*Hypotheses!$B$9</f>
        <v>99.9025850762891</v>
      </c>
      <c r="F5" s="29" t="n">
        <f aca="false">(SUMPRODUCT(DCF!$C$12:$G$12/(1+$A5)^DCF!$C$5:$G$5)+DCF!$G$12*(1+F$4)/($A5-F$4)/(1+$A5)^DCF!$G$5-Hypotheses!$B$15)/Hypotheses!$B$16*Hypotheses!$B$9</f>
        <v>108.737374340911</v>
      </c>
    </row>
    <row r="6" customFormat="false" ht="15" hidden="false" customHeight="false" outlineLevel="0" collapsed="false">
      <c r="A6" s="11" t="n">
        <v>0.08</v>
      </c>
      <c r="B6" s="29" t="n">
        <f aca="false">(SUMPRODUCT(DCF!$C$12:$G$12/(1+$A6)^DCF!$C$5:$G$5)+DCF!$G$12*(1+B$4)/($A6-B$4)/(1+$A6)^DCF!$G$5-Hypotheses!$B$15)/Hypotheses!$B$16*Hypotheses!$B$9</f>
        <v>69.6321800593716</v>
      </c>
      <c r="C6" s="29" t="n">
        <f aca="false">(SUMPRODUCT(DCF!$C$12:$G$12/(1+$A6)^DCF!$C$5:$G$5)+DCF!$G$12*(1+C$4)/($A6-C$4)/(1+$A6)^DCF!$G$5-Hypotheses!$B$15)/Hypotheses!$B$16*Hypotheses!$B$9</f>
        <v>73.5335553318883</v>
      </c>
      <c r="D6" s="29" t="n">
        <f aca="false">(SUMPRODUCT(DCF!$C$12:$G$12/(1+$A6)^DCF!$C$5:$G$5)+DCF!$G$12*(1+D$4)/($A6-D$4)/(1+$A6)^DCF!$G$5-Hypotheses!$B$15)/Hypotheses!$B$16*Hypotheses!$B$9</f>
        <v>77.9922699290503</v>
      </c>
      <c r="E6" s="29" t="n">
        <f aca="false">(SUMPRODUCT(DCF!$C$12:$G$12/(1+$A6)^DCF!$C$5:$G$5)+DCF!$G$12*(1+E$4)/($A6-E$4)/(1+$A6)^DCF!$G$5-Hypotheses!$B$15)/Hypotheses!$B$16*Hypotheses!$B$9</f>
        <v>83.1369406180833</v>
      </c>
      <c r="F6" s="29" t="n">
        <f aca="false">(SUMPRODUCT(DCF!$C$12:$G$12/(1+$A6)^DCF!$C$5:$G$5)+DCF!$G$12*(1+F$4)/($A6-F$4)/(1+$A6)^DCF!$G$5-Hypotheses!$B$15)/Hypotheses!$B$16*Hypotheses!$B$9</f>
        <v>89.1390564219553</v>
      </c>
    </row>
    <row r="7" customFormat="false" ht="15" hidden="false" customHeight="false" outlineLevel="0" collapsed="false">
      <c r="A7" s="11" t="n">
        <v>0.09</v>
      </c>
      <c r="B7" s="29" t="n">
        <f aca="false">(SUMPRODUCT(DCF!$C$12:$G$12/(1+$A7)^DCF!$C$5:$G$5)+DCF!$G$12*(1+B$4)/($A7-B$4)/(1+$A7)^DCF!$G$5-Hypotheses!$B$15)/Hypotheses!$B$16*Hypotheses!$B$9</f>
        <v>60.8198826147988</v>
      </c>
      <c r="C7" s="29" t="n">
        <f aca="false">(SUMPRODUCT(DCF!$C$12:$G$12/(1+$A7)^DCF!$C$5:$G$5)+DCF!$G$12*(1+C$4)/($A7-C$4)/(1+$A7)^DCF!$G$5-Hypotheses!$B$15)/Hypotheses!$B$16*Hypotheses!$B$9</f>
        <v>63.7690306467843</v>
      </c>
      <c r="D7" s="29" t="n">
        <f aca="false">(SUMPRODUCT(DCF!$C$12:$G$12/(1+$A7)^DCF!$C$5:$G$5)+DCF!$G$12*(1+D$4)/($A7-D$4)/(1+$A7)^DCF!$G$5-Hypotheses!$B$15)/Hypotheses!$B$16*Hypotheses!$B$9</f>
        <v>67.086822182768</v>
      </c>
      <c r="E7" s="29" t="n">
        <f aca="false">(SUMPRODUCT(DCF!$C$12:$G$12/(1+$A7)^DCF!$C$5:$G$5)+DCF!$G$12*(1+E$4)/($A7-E$4)/(1+$A7)^DCF!$G$5-Hypotheses!$B$15)/Hypotheses!$B$16*Hypotheses!$B$9</f>
        <v>70.8469859235495</v>
      </c>
      <c r="F7" s="29" t="n">
        <f aca="false">(SUMPRODUCT(DCF!$C$12:$G$12/(1+$A7)^DCF!$C$5:$G$5)+DCF!$G$12*(1+F$4)/($A7-F$4)/(1+$A7)^DCF!$G$5-Hypotheses!$B$15)/Hypotheses!$B$16*Hypotheses!$B$9</f>
        <v>75.1443159130141</v>
      </c>
    </row>
    <row r="8" customFormat="false" ht="15" hidden="false" customHeight="false" outlineLevel="0" collapsed="false">
      <c r="A8" s="11" t="n">
        <v>0.1</v>
      </c>
      <c r="B8" s="29" t="n">
        <f aca="false">(SUMPRODUCT(DCF!$C$12:$G$12/(1+$A8)^DCF!$C$5:$G$5)+DCF!$G$12*(1+B$4)/($A8-B$4)/(1+$A8)^DCF!$G$5-Hypotheses!$B$15)/Hypotheses!$B$16*Hypotheses!$B$9</f>
        <v>53.7757942690758</v>
      </c>
      <c r="C8" s="29" t="n">
        <f aca="false">(SUMPRODUCT(DCF!$C$12:$G$12/(1+$A8)^DCF!$C$5:$G$5)+DCF!$G$12*(1+C$4)/($A8-C$4)/(1+$A8)^DCF!$G$5-Hypotheses!$B$15)/Hypotheses!$B$16*Hypotheses!$B$9</f>
        <v>56.0654471848211</v>
      </c>
      <c r="D8" s="29" t="n">
        <f aca="false">(SUMPRODUCT(DCF!$C$12:$G$12/(1+$A8)^DCF!$C$5:$G$5)+DCF!$G$12*(1+D$4)/($A8-D$4)/(1+$A8)^DCF!$G$5-Hypotheses!$B$15)/Hypotheses!$B$16*Hypotheses!$B$9</f>
        <v>58.6095059800937</v>
      </c>
      <c r="E8" s="29" t="n">
        <f aca="false">(SUMPRODUCT(DCF!$C$12:$G$12/(1+$A8)^DCF!$C$5:$G$5)+DCF!$G$12*(1+E$4)/($A8-E$4)/(1+$A8)^DCF!$G$5-Hypotheses!$B$15)/Hypotheses!$B$16*Hypotheses!$B$9</f>
        <v>61.4528658101042</v>
      </c>
      <c r="F8" s="29" t="n">
        <f aca="false">(SUMPRODUCT(DCF!$C$12:$G$12/(1+$A8)^DCF!$C$5:$G$5)+DCF!$G$12*(1+F$4)/($A8-F$4)/(1+$A8)^DCF!$G$5-Hypotheses!$B$15)/Hypotheses!$B$16*Hypotheses!$B$9</f>
        <v>64.6516456188661</v>
      </c>
    </row>
    <row r="9" customFormat="false" ht="15" hidden="false" customHeight="false" outlineLevel="0" collapsed="false">
      <c r="A9" s="11" t="n">
        <v>0.11</v>
      </c>
      <c r="B9" s="29" t="n">
        <f aca="false">(SUMPRODUCT(DCF!$C$12:$G$12/(1+$A9)^DCF!$C$5:$G$5)+DCF!$G$12*(1+B$4)/($A9-B$4)/(1+$A9)^DCF!$G$5-Hypotheses!$B$15)/Hypotheses!$B$16*Hypotheses!$B$9</f>
        <v>48.0174340764635</v>
      </c>
      <c r="C9" s="29" t="n">
        <f aca="false">(SUMPRODUCT(DCF!$C$12:$G$12/(1+$A9)^DCF!$C$5:$G$5)+DCF!$G$12*(1+C$4)/($A9-C$4)/(1+$A9)^DCF!$G$5-Hypotheses!$B$15)/Hypotheses!$B$16*Hypotheses!$B$9</f>
        <v>49.8337446032022</v>
      </c>
      <c r="D9" s="29" t="n">
        <f aca="false">(SUMPRODUCT(DCF!$C$12:$G$12/(1+$A9)^DCF!$C$5:$G$5)+DCF!$G$12*(1+D$4)/($A9-D$4)/(1+$A9)^DCF!$G$5-Hypotheses!$B$15)/Hypotheses!$B$16*Hypotheses!$B$9</f>
        <v>51.8316861826148</v>
      </c>
      <c r="E9" s="29" t="n">
        <f aca="false">(SUMPRODUCT(DCF!$C$12:$G$12/(1+$A9)^DCF!$C$5:$G$5)+DCF!$G$12*(1+E$4)/($A9-E$4)/(1+$A9)^DCF!$G$5-Hypotheses!$B$15)/Hypotheses!$B$16*Hypotheses!$B$9</f>
        <v>54.0399374019655</v>
      </c>
      <c r="F9" s="29" t="n">
        <f aca="false">(SUMPRODUCT(DCF!$C$12:$G$12/(1+$A9)^DCF!$C$5:$G$5)+DCF!$G$12*(1+F$4)/($A9-F$4)/(1+$A9)^DCF!$G$5-Hypotheses!$B$15)/Hypotheses!$B$16*Hypotheses!$B$9</f>
        <v>56.4935498679108</v>
      </c>
    </row>
    <row r="11" customFormat="false" ht="15" hidden="false" customHeight="false" outlineLevel="0" collapsed="false">
      <c r="A11" s="5" t="s">
        <v>104</v>
      </c>
      <c r="B11" s="30" t="n">
        <f aca="false">IFERROR(ROUND(INDEX(B5:F9,MATCH(Hypotheses!B6,A5:A9,0),MATCH(Hypotheses!B7,B4:F4,0))-DCF!B26,6),"hors grille")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2026-10-18T13:21:53Z</dcterms:created>
  <dc:creator>openpyxl</dc:creator>
  <dc:description/>
  <dc:language>en-US</dc:language>
  <cp:lastModifiedBy/>
  <dcterms:modified xsi:type="dcterms:W3CDTF">2026-10-18T13:21:53Z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